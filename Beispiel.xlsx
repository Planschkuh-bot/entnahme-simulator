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hartmann/Documents/KI/Entnahmerechner/"/>
    </mc:Choice>
  </mc:AlternateContent>
  <xr:revisionPtr revIDLastSave="0" documentId="13_ncr:1_{66B02624-55F2-7648-B289-EBA89309B787}" xr6:coauthVersionLast="47" xr6:coauthVersionMax="47" xr10:uidLastSave="{00000000-0000-0000-0000-000000000000}"/>
  <bookViews>
    <workbookView xWindow="0" yWindow="620" windowWidth="51200" windowHeight="28180" xr2:uid="{3A7AD9A2-C96D-FC4C-9032-527EA3E2315B}"/>
  </bookViews>
  <sheets>
    <sheet name="Tabelle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I1" i="1"/>
  <c r="M7" i="1"/>
  <c r="N7" i="1" s="1"/>
  <c r="N6" i="1"/>
  <c r="N5" i="1"/>
  <c r="M6" i="1" s="1"/>
  <c r="M5" i="1"/>
  <c r="N4" i="1"/>
  <c r="M4" i="1"/>
  <c r="H4" i="1"/>
  <c r="K3" i="1"/>
  <c r="J3" i="1"/>
  <c r="I4" i="1"/>
  <c r="K5" i="1" s="1"/>
  <c r="M8" i="1" l="1"/>
  <c r="H5" i="1"/>
  <c r="J5" i="1"/>
  <c r="B17" i="1"/>
  <c r="I5" i="1" s="1"/>
  <c r="B15" i="1"/>
  <c r="N8" i="1" l="1"/>
  <c r="M9" i="1"/>
  <c r="H6" i="1"/>
  <c r="J6" i="1"/>
  <c r="K6" i="1"/>
  <c r="N9" i="1" l="1"/>
  <c r="M10" i="1" s="1"/>
  <c r="I6" i="1"/>
  <c r="N10" i="1" l="1"/>
  <c r="M11" i="1" s="1"/>
  <c r="K7" i="1"/>
  <c r="H7" i="1"/>
  <c r="J7" i="1"/>
  <c r="N11" i="1" l="1"/>
  <c r="M12" i="1" s="1"/>
  <c r="I7" i="1"/>
  <c r="H8" i="1"/>
  <c r="N12" i="1" l="1"/>
  <c r="M13" i="1" s="1"/>
  <c r="J8" i="1"/>
  <c r="I8" i="1" s="1"/>
  <c r="K8" i="1"/>
  <c r="N13" i="1" l="1"/>
  <c r="M14" i="1" s="1"/>
  <c r="J9" i="1"/>
  <c r="K9" i="1"/>
  <c r="H9" i="1"/>
  <c r="N14" i="1" l="1"/>
  <c r="M15" i="1" s="1"/>
  <c r="I9" i="1"/>
  <c r="H10" i="1" s="1"/>
  <c r="N15" i="1" l="1"/>
  <c r="M16" i="1" s="1"/>
  <c r="J10" i="1"/>
  <c r="I10" i="1" s="1"/>
  <c r="K10" i="1"/>
  <c r="M17" i="1" l="1"/>
  <c r="N16" i="1"/>
  <c r="J11" i="1"/>
  <c r="K11" i="1"/>
  <c r="H11" i="1"/>
  <c r="N17" i="1" l="1"/>
  <c r="M18" i="1"/>
  <c r="I11" i="1"/>
  <c r="H12" i="1" s="1"/>
  <c r="N18" i="1" l="1"/>
  <c r="M19" i="1" s="1"/>
  <c r="J12" i="1"/>
  <c r="I12" i="1" s="1"/>
  <c r="K12" i="1"/>
  <c r="N19" i="1" l="1"/>
  <c r="M20" i="1" s="1"/>
  <c r="J13" i="1"/>
  <c r="K13" i="1"/>
  <c r="H13" i="1"/>
  <c r="N20" i="1" l="1"/>
  <c r="M21" i="1" s="1"/>
  <c r="I13" i="1"/>
  <c r="H14" i="1" s="1"/>
  <c r="N21" i="1" l="1"/>
  <c r="M22" i="1" s="1"/>
  <c r="K14" i="1"/>
  <c r="J14" i="1"/>
  <c r="I14" i="1" s="1"/>
  <c r="N22" i="1" l="1"/>
  <c r="M23" i="1"/>
  <c r="J15" i="1"/>
  <c r="K15" i="1"/>
  <c r="H15" i="1"/>
  <c r="N23" i="1" l="1"/>
  <c r="M24" i="1"/>
  <c r="I15" i="1"/>
  <c r="N24" i="1" l="1"/>
  <c r="M25" i="1" s="1"/>
  <c r="K16" i="1"/>
  <c r="J16" i="1"/>
  <c r="H16" i="1"/>
  <c r="N25" i="1" l="1"/>
  <c r="M26" i="1" s="1"/>
  <c r="I16" i="1"/>
  <c r="H17" i="1" s="1"/>
  <c r="N26" i="1" l="1"/>
  <c r="M27" i="1" s="1"/>
  <c r="J17" i="1"/>
  <c r="I17" i="1" s="1"/>
  <c r="K17" i="1"/>
  <c r="N27" i="1" l="1"/>
  <c r="M28" i="1"/>
  <c r="K18" i="1"/>
  <c r="J18" i="1"/>
  <c r="H18" i="1"/>
  <c r="N28" i="1" l="1"/>
  <c r="M29" i="1"/>
  <c r="I18" i="1"/>
  <c r="H19" i="1" s="1"/>
  <c r="N29" i="1" l="1"/>
  <c r="M30" i="1" s="1"/>
  <c r="J19" i="1"/>
  <c r="I19" i="1" s="1"/>
  <c r="K19" i="1"/>
  <c r="N30" i="1" l="1"/>
  <c r="M31" i="1" s="1"/>
  <c r="J20" i="1"/>
  <c r="K20" i="1"/>
  <c r="H20" i="1"/>
  <c r="N31" i="1" l="1"/>
  <c r="M32" i="1" s="1"/>
  <c r="I20" i="1"/>
  <c r="H21" i="1" s="1"/>
  <c r="N32" i="1" l="1"/>
  <c r="M33" i="1"/>
  <c r="J21" i="1"/>
  <c r="I21" i="1" s="1"/>
  <c r="K21" i="1"/>
  <c r="N33" i="1" l="1"/>
  <c r="M34" i="1"/>
  <c r="K22" i="1"/>
  <c r="J22" i="1"/>
  <c r="H22" i="1"/>
  <c r="N34" i="1" l="1"/>
  <c r="M35" i="1" s="1"/>
  <c r="I22" i="1"/>
  <c r="H23" i="1"/>
  <c r="N35" i="1" l="1"/>
  <c r="M36" i="1"/>
  <c r="J23" i="1"/>
  <c r="I23" i="1" s="1"/>
  <c r="K23" i="1"/>
  <c r="N36" i="1" l="1"/>
  <c r="M37" i="1" s="1"/>
  <c r="K24" i="1"/>
  <c r="J24" i="1"/>
  <c r="H24" i="1"/>
  <c r="N37" i="1" l="1"/>
  <c r="M38" i="1" s="1"/>
  <c r="I24" i="1"/>
  <c r="N38" i="1" l="1"/>
  <c r="M39" i="1"/>
  <c r="K25" i="1"/>
  <c r="J25" i="1"/>
  <c r="H25" i="1"/>
  <c r="N39" i="1" l="1"/>
  <c r="M40" i="1" s="1"/>
  <c r="I25" i="1"/>
  <c r="H26" i="1" s="1"/>
  <c r="N40" i="1" l="1"/>
  <c r="M41" i="1"/>
  <c r="K26" i="1"/>
  <c r="J26" i="1"/>
  <c r="I26" i="1" s="1"/>
  <c r="M42" i="1" l="1"/>
  <c r="N41" i="1"/>
  <c r="K27" i="1"/>
  <c r="J27" i="1"/>
  <c r="H27" i="1"/>
  <c r="N42" i="1" l="1"/>
  <c r="M43" i="1" s="1"/>
  <c r="I27" i="1"/>
  <c r="H28" i="1" s="1"/>
  <c r="N43" i="1" l="1"/>
  <c r="M44" i="1" s="1"/>
  <c r="K28" i="1"/>
  <c r="J28" i="1"/>
  <c r="N44" i="1" l="1"/>
  <c r="M45" i="1"/>
  <c r="I28" i="1"/>
  <c r="K29" i="1" s="1"/>
  <c r="N45" i="1" l="1"/>
  <c r="M46" i="1" s="1"/>
  <c r="H29" i="1"/>
  <c r="J29" i="1"/>
  <c r="I29" i="1"/>
  <c r="H30" i="1" s="1"/>
  <c r="N46" i="1" l="1"/>
  <c r="M47" i="1" s="1"/>
  <c r="J30" i="1"/>
  <c r="K30" i="1"/>
  <c r="N47" i="1" l="1"/>
  <c r="M48" i="1"/>
  <c r="I30" i="1"/>
  <c r="K31" i="1" s="1"/>
  <c r="N48" i="1" l="1"/>
  <c r="M49" i="1" s="1"/>
  <c r="H31" i="1"/>
  <c r="J31" i="1"/>
  <c r="I31" i="1"/>
  <c r="H32" i="1" s="1"/>
  <c r="N49" i="1" l="1"/>
  <c r="M50" i="1"/>
  <c r="J32" i="1"/>
  <c r="K32" i="1"/>
  <c r="N50" i="1" l="1"/>
  <c r="M51" i="1" s="1"/>
  <c r="I32" i="1"/>
  <c r="J33" i="1" s="1"/>
  <c r="K33" i="1"/>
  <c r="H33" i="1"/>
  <c r="N51" i="1" l="1"/>
  <c r="M52" i="1" s="1"/>
  <c r="I33" i="1"/>
  <c r="N52" i="1" l="1"/>
  <c r="M53" i="1"/>
  <c r="N53" i="1" s="1"/>
  <c r="K34" i="1"/>
  <c r="J34" i="1"/>
  <c r="H34" i="1"/>
  <c r="I34" i="1" l="1"/>
  <c r="H35" i="1" s="1"/>
  <c r="J35" i="1" l="1"/>
  <c r="K35" i="1"/>
  <c r="I35" i="1" l="1"/>
  <c r="J36" i="1" s="1"/>
  <c r="H36" i="1" l="1"/>
  <c r="K36" i="1"/>
  <c r="I36" i="1"/>
  <c r="K37" i="1" l="1"/>
  <c r="J37" i="1"/>
  <c r="H37" i="1"/>
  <c r="I37" i="1" l="1"/>
  <c r="H38" i="1" s="1"/>
  <c r="J38" i="1" l="1"/>
  <c r="K38" i="1"/>
  <c r="I38" i="1" l="1"/>
  <c r="J39" i="1" s="1"/>
  <c r="H39" i="1" l="1"/>
  <c r="K39" i="1"/>
  <c r="I39" i="1"/>
  <c r="H40" i="1" s="1"/>
  <c r="K40" i="1" l="1"/>
  <c r="J40" i="1"/>
  <c r="I40" i="1" s="1"/>
  <c r="J41" i="1" l="1"/>
  <c r="K41" i="1"/>
  <c r="H41" i="1"/>
  <c r="I41" i="1" l="1"/>
  <c r="H42" i="1" s="1"/>
  <c r="K42" i="1" l="1"/>
  <c r="J42" i="1"/>
  <c r="I42" i="1" s="1"/>
  <c r="H43" i="1" l="1"/>
  <c r="K43" i="1"/>
  <c r="J43" i="1"/>
  <c r="I43" i="1" s="1"/>
  <c r="J44" i="1" l="1"/>
  <c r="K44" i="1"/>
  <c r="H44" i="1"/>
  <c r="I44" i="1" s="1"/>
  <c r="H45" i="1" l="1"/>
  <c r="K45" i="1"/>
  <c r="J45" i="1"/>
  <c r="I45" i="1" s="1"/>
  <c r="J46" i="1" l="1"/>
  <c r="K46" i="1"/>
  <c r="H46" i="1"/>
  <c r="I46" i="1" s="1"/>
  <c r="H47" i="1" l="1"/>
  <c r="K47" i="1"/>
  <c r="J47" i="1"/>
  <c r="I47" i="1" s="1"/>
  <c r="J48" i="1" l="1"/>
  <c r="K48" i="1"/>
  <c r="H48" i="1"/>
  <c r="I48" i="1" l="1"/>
  <c r="H49" i="1" s="1"/>
  <c r="K49" i="1" l="1"/>
  <c r="J49" i="1"/>
  <c r="I49" i="1" s="1"/>
  <c r="H50" i="1" l="1"/>
  <c r="J50" i="1"/>
  <c r="K50" i="1"/>
  <c r="I50" i="1" l="1"/>
  <c r="H51" i="1" s="1"/>
  <c r="J51" i="1" l="1"/>
  <c r="K51" i="1"/>
  <c r="I51" i="1" l="1"/>
  <c r="K52" i="1" s="1"/>
  <c r="H52" i="1" l="1"/>
  <c r="J52" i="1"/>
  <c r="I52" i="1"/>
  <c r="H53" i="1" s="1"/>
  <c r="K53" i="1" l="1"/>
  <c r="J53" i="1"/>
  <c r="I53" i="1" s="1"/>
</calcChain>
</file>

<file path=xl/sharedStrings.xml><?xml version="1.0" encoding="utf-8"?>
<sst xmlns="http://schemas.openxmlformats.org/spreadsheetml/2006/main" count="18" uniqueCount="15">
  <si>
    <t>Jahr</t>
  </si>
  <si>
    <t>S&amp;P</t>
  </si>
  <si>
    <t>Vermögen zu Beginn</t>
  </si>
  <si>
    <t>Rate für Boden</t>
  </si>
  <si>
    <t>Dyn. Startrate</t>
  </si>
  <si>
    <t>Ceiling</t>
  </si>
  <si>
    <t>Floor</t>
  </si>
  <si>
    <t>Entnahme 1. Jahr</t>
  </si>
  <si>
    <t>fester Boden Vanguard</t>
  </si>
  <si>
    <t>Entnahmejahr</t>
  </si>
  <si>
    <t>Vermögen</t>
  </si>
  <si>
    <t>Entnahme</t>
  </si>
  <si>
    <t>Vanguard mit festem Boden</t>
  </si>
  <si>
    <t>Minimum:</t>
  </si>
  <si>
    <t>Konstante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</si>
</sst>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2" borderId="0" xfId="0" applyFill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42B2-89B7-9F46-A717-8E34EE188CA1}">
  <dimension ref="A1:N53"/>
  <sheetViews>
    <sheetView tabSelected="1" zoomScale="125" workbookViewId="0">
      <pane ySplit="3" topLeftCell="A4" activePane="bottomLeft" state="frozen"/>
      <selection pane="bottomLeft" activeCell="Q30" sqref="Q30"/>
    </sheetView>
  </sheetViews>
  <sheetFormatPr baseColWidth="10" defaultRowHeight="16" x14ac:dyDescent="0.2"/>
  <cols>
    <col min="1" max="1" width="19.33203125" bestFit="1" customWidth="1"/>
    <col min="4" max="4" width="12.5" bestFit="1" customWidth="1"/>
    <col min="8" max="8" width="13.6640625" bestFit="1" customWidth="1"/>
    <col min="13" max="13" width="14.33203125" bestFit="1" customWidth="1"/>
  </cols>
  <sheetData>
    <row r="1" spans="1:14" x14ac:dyDescent="0.2">
      <c r="H1" t="s">
        <v>13</v>
      </c>
      <c r="I1" s="2">
        <f>+MIN(I4:I53)</f>
        <v>24000</v>
      </c>
      <c r="M1" t="s">
        <v>13</v>
      </c>
      <c r="N1" s="2">
        <f>+MIN(N4:N53)</f>
        <v>14999.496524835244</v>
      </c>
    </row>
    <row r="2" spans="1:14" x14ac:dyDescent="0.2">
      <c r="H2" s="5" t="s">
        <v>12</v>
      </c>
      <c r="I2" s="5"/>
      <c r="J2" s="5"/>
      <c r="K2" s="5"/>
      <c r="M2" s="5" t="s">
        <v>14</v>
      </c>
      <c r="N2" s="5"/>
    </row>
    <row r="3" spans="1:14" x14ac:dyDescent="0.2">
      <c r="D3" t="s">
        <v>9</v>
      </c>
      <c r="E3" t="s">
        <v>0</v>
      </c>
      <c r="F3" s="1" t="s">
        <v>1</v>
      </c>
      <c r="G3" s="1"/>
      <c r="H3" s="1" t="s">
        <v>10</v>
      </c>
      <c r="I3" t="s">
        <v>11</v>
      </c>
      <c r="J3" s="4">
        <f>+B13</f>
        <v>-2.5000000000000001E-2</v>
      </c>
      <c r="K3" s="4">
        <f>+B11</f>
        <v>0.05</v>
      </c>
      <c r="M3" s="1" t="s">
        <v>10</v>
      </c>
      <c r="N3" t="s">
        <v>11</v>
      </c>
    </row>
    <row r="4" spans="1:14" x14ac:dyDescent="0.2">
      <c r="D4">
        <v>1</v>
      </c>
      <c r="E4">
        <v>1929</v>
      </c>
      <c r="F4" s="1">
        <v>-4.7599999999999996E-2</v>
      </c>
      <c r="G4" s="1"/>
      <c r="H4" s="2">
        <f>+B5</f>
        <v>1000000</v>
      </c>
      <c r="I4" s="2">
        <f>+B5*B9</f>
        <v>32000</v>
      </c>
      <c r="M4" s="2">
        <f>+H4</f>
        <v>1000000</v>
      </c>
      <c r="N4" s="2">
        <f>+M4*B9</f>
        <v>32000</v>
      </c>
    </row>
    <row r="5" spans="1:14" x14ac:dyDescent="0.2">
      <c r="A5" t="s">
        <v>2</v>
      </c>
      <c r="B5" s="2">
        <v>1000000</v>
      </c>
      <c r="D5">
        <v>2</v>
      </c>
      <c r="E5">
        <v>1930</v>
      </c>
      <c r="F5" s="1">
        <v>-0.18820000000000001</v>
      </c>
      <c r="G5" s="1"/>
      <c r="H5" s="2">
        <f>(H4-I4)*(1+F5)</f>
        <v>785822.4</v>
      </c>
      <c r="I5" s="2">
        <f>IF(IF(H5*$B$9&lt;J5,J5,IF((H5*$B$9)&gt;K5,K5,H5*$B$9))&lt;$B$17,$B$17,IF(H5*$B$9&lt;J5,J5,IF((H5*$B$9)&gt;K5,K5,H5*$B$9)))</f>
        <v>31200</v>
      </c>
      <c r="J5" s="2">
        <f>+I4*(1+$J$3)</f>
        <v>31200</v>
      </c>
      <c r="K5" s="2">
        <f>+I4*(1+$K$3)</f>
        <v>33600</v>
      </c>
      <c r="M5" s="2">
        <f>(M4-N4)*(1+F5)</f>
        <v>785822.4</v>
      </c>
      <c r="N5" s="2">
        <f>+M5*$B$9</f>
        <v>25146.316800000001</v>
      </c>
    </row>
    <row r="6" spans="1:14" x14ac:dyDescent="0.2">
      <c r="D6">
        <v>3</v>
      </c>
      <c r="E6">
        <v>1931</v>
      </c>
      <c r="F6" s="1">
        <v>-0.3579</v>
      </c>
      <c r="G6" s="1"/>
      <c r="H6" s="2">
        <f t="shared" ref="H6:H17" si="0">(H5-I5)*(1+F6)</f>
        <v>484543.04304000002</v>
      </c>
      <c r="I6" s="2">
        <f t="shared" ref="I6:I38" si="1">IF(IF(H6*$B$9&lt;J6,J6,IF((H6*$B$9)&gt;K6,K6,H6*$B$9))&lt;$B$17,$B$17,IF(H6*$B$9&lt;J6,J6,IF((H6*$B$9)&gt;K6,K6,H6*$B$9)))</f>
        <v>30420</v>
      </c>
      <c r="J6" s="2">
        <f t="shared" ref="J6:J53" si="2">+I5*(1+$J$3)</f>
        <v>30420</v>
      </c>
      <c r="K6" s="2">
        <f t="shared" ref="K6:K17" si="3">+I5*(1+$K$3)</f>
        <v>32760</v>
      </c>
      <c r="M6" s="2">
        <f>(M5-N5)*(1+F6)</f>
        <v>488430.11302271998</v>
      </c>
      <c r="N6" s="2">
        <f>+M6*$B$9</f>
        <v>15629.763616727039</v>
      </c>
    </row>
    <row r="7" spans="1:14" x14ac:dyDescent="0.2">
      <c r="A7" t="s">
        <v>3</v>
      </c>
      <c r="B7" s="3">
        <v>2.4E-2</v>
      </c>
      <c r="D7">
        <v>4</v>
      </c>
      <c r="E7">
        <v>1932</v>
      </c>
      <c r="F7" s="1">
        <v>-8.6E-3</v>
      </c>
      <c r="G7" s="1"/>
      <c r="H7" s="2">
        <f t="shared" si="0"/>
        <v>450217.58486985601</v>
      </c>
      <c r="I7" s="2">
        <f t="shared" si="1"/>
        <v>29659.5</v>
      </c>
      <c r="J7" s="2">
        <f t="shared" si="2"/>
        <v>29659.5</v>
      </c>
      <c r="K7" s="2">
        <f t="shared" si="3"/>
        <v>31941</v>
      </c>
      <c r="M7" s="2">
        <f t="shared" ref="M7:M53" si="4">(M6-N6)*(1+F7)</f>
        <v>468734.26640110137</v>
      </c>
      <c r="N7" s="2">
        <f t="shared" ref="N7:N53" si="5">+M7*$B$9</f>
        <v>14999.496524835244</v>
      </c>
    </row>
    <row r="8" spans="1:14" x14ac:dyDescent="0.2">
      <c r="D8">
        <v>5</v>
      </c>
      <c r="E8">
        <v>1933</v>
      </c>
      <c r="F8" s="1">
        <v>0.53249999999999997</v>
      </c>
      <c r="G8" s="1"/>
      <c r="H8" s="2">
        <f t="shared" si="0"/>
        <v>644505.26506305428</v>
      </c>
      <c r="I8" s="2">
        <f t="shared" si="1"/>
        <v>28918.012500000001</v>
      </c>
      <c r="J8" s="2">
        <f t="shared" si="2"/>
        <v>28918.012500000001</v>
      </c>
      <c r="K8" s="2">
        <f t="shared" si="3"/>
        <v>31142.475000000002</v>
      </c>
      <c r="M8" s="2">
        <f t="shared" si="4"/>
        <v>695348.53483537782</v>
      </c>
      <c r="N8" s="2">
        <f t="shared" si="5"/>
        <v>22251.153114732089</v>
      </c>
    </row>
    <row r="9" spans="1:14" x14ac:dyDescent="0.2">
      <c r="A9" t="s">
        <v>4</v>
      </c>
      <c r="B9" s="3">
        <v>3.2000000000000001E-2</v>
      </c>
      <c r="D9">
        <v>6</v>
      </c>
      <c r="E9">
        <v>1934</v>
      </c>
      <c r="F9" s="1">
        <v>-4.2500000000000003E-2</v>
      </c>
      <c r="G9" s="1"/>
      <c r="H9" s="2">
        <f t="shared" si="0"/>
        <v>589424.7943291245</v>
      </c>
      <c r="I9" s="2">
        <f t="shared" si="1"/>
        <v>28195.0621875</v>
      </c>
      <c r="J9" s="2">
        <f t="shared" si="2"/>
        <v>28195.0621875</v>
      </c>
      <c r="K9" s="2">
        <f t="shared" si="3"/>
        <v>30363.913125000003</v>
      </c>
      <c r="M9" s="2">
        <f t="shared" si="4"/>
        <v>644490.74299751827</v>
      </c>
      <c r="N9" s="2">
        <f t="shared" si="5"/>
        <v>20623.703775920585</v>
      </c>
    </row>
    <row r="10" spans="1:14" x14ac:dyDescent="0.2">
      <c r="D10">
        <v>7</v>
      </c>
      <c r="E10">
        <v>1935</v>
      </c>
      <c r="F10" s="1">
        <v>0.42749999999999999</v>
      </c>
      <c r="G10" s="1"/>
      <c r="H10" s="2">
        <f t="shared" si="0"/>
        <v>801155.442632169</v>
      </c>
      <c r="I10" s="2">
        <f t="shared" si="1"/>
        <v>27490.1856328125</v>
      </c>
      <c r="J10" s="2">
        <f t="shared" si="2"/>
        <v>27490.1856328125</v>
      </c>
      <c r="K10" s="2">
        <f t="shared" si="3"/>
        <v>29604.815296875</v>
      </c>
      <c r="M10" s="2">
        <f t="shared" si="4"/>
        <v>890570.19848883071</v>
      </c>
      <c r="N10" s="2">
        <f t="shared" si="5"/>
        <v>28498.246351642581</v>
      </c>
    </row>
    <row r="11" spans="1:14" x14ac:dyDescent="0.2">
      <c r="A11" t="s">
        <v>5</v>
      </c>
      <c r="B11" s="3">
        <v>0.05</v>
      </c>
      <c r="D11">
        <v>8</v>
      </c>
      <c r="E11">
        <v>1936</v>
      </c>
      <c r="F11" s="1">
        <v>0.33810000000000001</v>
      </c>
      <c r="G11" s="1"/>
      <c r="H11" s="2">
        <f t="shared" si="0"/>
        <v>1035241.4803908389</v>
      </c>
      <c r="I11" s="2">
        <f t="shared" si="1"/>
        <v>28864.694914453125</v>
      </c>
      <c r="J11" s="2">
        <f t="shared" si="2"/>
        <v>26802.930991992187</v>
      </c>
      <c r="K11" s="2">
        <f t="shared" si="3"/>
        <v>28864.694914453125</v>
      </c>
      <c r="M11" s="2">
        <f t="shared" si="4"/>
        <v>1153538.4791547717</v>
      </c>
      <c r="N11" s="2">
        <f t="shared" si="5"/>
        <v>36913.231332952695</v>
      </c>
    </row>
    <row r="12" spans="1:14" x14ac:dyDescent="0.2">
      <c r="D12">
        <v>9</v>
      </c>
      <c r="E12">
        <v>1937</v>
      </c>
      <c r="F12" s="1">
        <v>-0.3382</v>
      </c>
      <c r="G12" s="1"/>
      <c r="H12" s="2">
        <f t="shared" si="0"/>
        <v>666020.15662827215</v>
      </c>
      <c r="I12" s="2">
        <f t="shared" si="1"/>
        <v>28143.077541591796</v>
      </c>
      <c r="J12" s="2">
        <f t="shared" si="2"/>
        <v>28143.077541591796</v>
      </c>
      <c r="K12" s="2">
        <f t="shared" si="3"/>
        <v>30307.929660175781</v>
      </c>
      <c r="M12" s="2">
        <f t="shared" si="4"/>
        <v>738982.58900847973</v>
      </c>
      <c r="N12" s="2">
        <f t="shared" si="5"/>
        <v>23647.442848271352</v>
      </c>
    </row>
    <row r="13" spans="1:14" x14ac:dyDescent="0.2">
      <c r="A13" t="s">
        <v>6</v>
      </c>
      <c r="B13" s="3">
        <v>-2.5000000000000001E-2</v>
      </c>
      <c r="D13">
        <v>10</v>
      </c>
      <c r="E13">
        <v>1938</v>
      </c>
      <c r="F13" s="1">
        <v>0.25980000000000003</v>
      </c>
      <c r="G13" s="1"/>
      <c r="H13" s="2">
        <f t="shared" si="0"/>
        <v>803597.54423339991</v>
      </c>
      <c r="I13" s="2">
        <f t="shared" si="1"/>
        <v>27439.500603052002</v>
      </c>
      <c r="J13" s="2">
        <f t="shared" si="2"/>
        <v>27439.500603052002</v>
      </c>
      <c r="K13" s="2">
        <f t="shared" si="3"/>
        <v>29550.231418671388</v>
      </c>
      <c r="M13" s="2">
        <f t="shared" si="4"/>
        <v>901179.21713263053</v>
      </c>
      <c r="N13" s="2">
        <f t="shared" si="5"/>
        <v>28837.734948244179</v>
      </c>
    </row>
    <row r="14" spans="1:14" x14ac:dyDescent="0.2">
      <c r="D14">
        <v>11</v>
      </c>
      <c r="E14">
        <v>1939</v>
      </c>
      <c r="F14" s="1">
        <v>2.0099999999999996E-2</v>
      </c>
      <c r="G14" s="1"/>
      <c r="H14" s="2">
        <f t="shared" si="0"/>
        <v>791758.82030731789</v>
      </c>
      <c r="I14" s="2">
        <f t="shared" si="1"/>
        <v>26753.513087975702</v>
      </c>
      <c r="J14" s="2">
        <f t="shared" si="2"/>
        <v>26753.513087975702</v>
      </c>
      <c r="K14" s="2">
        <f t="shared" si="3"/>
        <v>28811.475633204602</v>
      </c>
      <c r="M14" s="2">
        <f t="shared" si="4"/>
        <v>889875.54597629257</v>
      </c>
      <c r="N14" s="2">
        <f t="shared" si="5"/>
        <v>28476.017471241365</v>
      </c>
    </row>
    <row r="15" spans="1:14" x14ac:dyDescent="0.2">
      <c r="A15" t="s">
        <v>7</v>
      </c>
      <c r="B15" s="2">
        <f>+B9*B5</f>
        <v>32000</v>
      </c>
      <c r="D15">
        <v>12</v>
      </c>
      <c r="E15">
        <v>1940</v>
      </c>
      <c r="F15" s="1">
        <v>-0.10310000000000001</v>
      </c>
      <c r="G15" s="1"/>
      <c r="H15" s="2">
        <f t="shared" si="0"/>
        <v>686133.26004502806</v>
      </c>
      <c r="I15" s="2">
        <f t="shared" si="1"/>
        <v>26084.675260776308</v>
      </c>
      <c r="J15" s="2">
        <f t="shared" si="2"/>
        <v>26084.675260776308</v>
      </c>
      <c r="K15" s="2">
        <f t="shared" si="3"/>
        <v>28091.188742374488</v>
      </c>
      <c r="M15" s="2">
        <f t="shared" si="4"/>
        <v>772589.23711618036</v>
      </c>
      <c r="N15" s="2">
        <f t="shared" si="5"/>
        <v>24722.855587717771</v>
      </c>
    </row>
    <row r="16" spans="1:14" x14ac:dyDescent="0.2">
      <c r="D16">
        <v>13</v>
      </c>
      <c r="E16">
        <v>1941</v>
      </c>
      <c r="F16" s="1">
        <v>-0.188</v>
      </c>
      <c r="G16" s="1"/>
      <c r="H16" s="2">
        <f t="shared" si="0"/>
        <v>535959.45084481244</v>
      </c>
      <c r="I16" s="2">
        <f t="shared" si="1"/>
        <v>25432.558379256901</v>
      </c>
      <c r="J16" s="2">
        <f t="shared" si="2"/>
        <v>25432.558379256901</v>
      </c>
      <c r="K16" s="2">
        <f t="shared" si="3"/>
        <v>27388.909023815126</v>
      </c>
      <c r="M16" s="2">
        <f t="shared" si="4"/>
        <v>607267.50180111174</v>
      </c>
      <c r="N16" s="2">
        <f t="shared" si="5"/>
        <v>19432.560057635576</v>
      </c>
    </row>
    <row r="17" spans="1:14" x14ac:dyDescent="0.2">
      <c r="A17" t="s">
        <v>8</v>
      </c>
      <c r="B17" s="2">
        <f>+B5*B7</f>
        <v>24000</v>
      </c>
      <c r="D17">
        <v>14</v>
      </c>
      <c r="E17">
        <v>1942</v>
      </c>
      <c r="F17" s="1">
        <v>7.4499999999999997E-2</v>
      </c>
      <c r="G17" s="1"/>
      <c r="H17" s="2">
        <f t="shared" si="0"/>
        <v>548561.14595423942</v>
      </c>
      <c r="I17" s="2">
        <f t="shared" si="1"/>
        <v>24796.744419775478</v>
      </c>
      <c r="J17" s="2">
        <f t="shared" si="2"/>
        <v>24796.744419775478</v>
      </c>
      <c r="K17" s="2">
        <f t="shared" si="3"/>
        <v>26704.186298219749</v>
      </c>
      <c r="M17" s="2">
        <f t="shared" si="4"/>
        <v>631628.64490336517</v>
      </c>
      <c r="N17" s="2">
        <f t="shared" si="5"/>
        <v>20212.116636907685</v>
      </c>
    </row>
    <row r="18" spans="1:14" x14ac:dyDescent="0.2">
      <c r="D18">
        <v>15</v>
      </c>
      <c r="E18">
        <v>1943</v>
      </c>
      <c r="F18" s="1">
        <v>0.23350000000000001</v>
      </c>
      <c r="G18" s="1"/>
      <c r="H18" s="2">
        <f t="shared" ref="H18:H38" si="6">(H17-I17)*(1+F18)</f>
        <v>646063.38929276122</v>
      </c>
      <c r="I18" s="2">
        <f t="shared" si="1"/>
        <v>24176.82580928109</v>
      </c>
      <c r="J18" s="2">
        <f t="shared" si="2"/>
        <v>24176.82580928109</v>
      </c>
      <c r="K18" s="2">
        <f t="shared" ref="K18:K38" si="7">+I17*(1+$K$3)</f>
        <v>26036.581640764252</v>
      </c>
      <c r="M18" s="2">
        <f t="shared" si="4"/>
        <v>754182.28761667537</v>
      </c>
      <c r="N18" s="2">
        <f t="shared" si="5"/>
        <v>24133.833203733611</v>
      </c>
    </row>
    <row r="19" spans="1:14" x14ac:dyDescent="0.2">
      <c r="D19">
        <v>16</v>
      </c>
      <c r="E19">
        <v>1944</v>
      </c>
      <c r="F19" s="1">
        <v>0.17319999999999999</v>
      </c>
      <c r="G19" s="1"/>
      <c r="H19" s="2">
        <f t="shared" si="6"/>
        <v>729597.31627881888</v>
      </c>
      <c r="I19" s="2">
        <f t="shared" si="1"/>
        <v>24000</v>
      </c>
      <c r="J19" s="2">
        <f t="shared" si="2"/>
        <v>23572.405164049062</v>
      </c>
      <c r="K19" s="2">
        <f t="shared" si="7"/>
        <v>25385.667099745147</v>
      </c>
      <c r="M19" s="2">
        <f t="shared" si="4"/>
        <v>856492.84671726322</v>
      </c>
      <c r="N19" s="2">
        <f t="shared" si="5"/>
        <v>27407.771094952423</v>
      </c>
    </row>
    <row r="20" spans="1:14" x14ac:dyDescent="0.2">
      <c r="D20">
        <v>17</v>
      </c>
      <c r="E20">
        <v>1945</v>
      </c>
      <c r="F20" s="1">
        <v>0.35100000000000003</v>
      </c>
      <c r="G20" s="1"/>
      <c r="H20" s="2">
        <f t="shared" si="6"/>
        <v>953261.97429268435</v>
      </c>
      <c r="I20" s="2">
        <f t="shared" si="1"/>
        <v>25200</v>
      </c>
      <c r="J20" s="2">
        <f t="shared" si="2"/>
        <v>23400</v>
      </c>
      <c r="K20" s="2">
        <f t="shared" si="7"/>
        <v>25200</v>
      </c>
      <c r="M20" s="2">
        <f t="shared" si="4"/>
        <v>1120093.9371657418</v>
      </c>
      <c r="N20" s="2">
        <f t="shared" si="5"/>
        <v>35843.00598930374</v>
      </c>
    </row>
    <row r="21" spans="1:14" x14ac:dyDescent="0.2">
      <c r="D21">
        <v>18</v>
      </c>
      <c r="E21">
        <v>1946</v>
      </c>
      <c r="F21" s="1">
        <v>-0.23039999999999999</v>
      </c>
      <c r="G21" s="1"/>
      <c r="H21" s="2">
        <f t="shared" si="6"/>
        <v>714236.49541564996</v>
      </c>
      <c r="I21" s="2">
        <f t="shared" si="1"/>
        <v>24570</v>
      </c>
      <c r="J21" s="2">
        <f t="shared" si="2"/>
        <v>24570</v>
      </c>
      <c r="K21" s="2">
        <f t="shared" si="7"/>
        <v>26460</v>
      </c>
      <c r="M21" s="2">
        <f t="shared" si="4"/>
        <v>834439.51663338672</v>
      </c>
      <c r="N21" s="2">
        <f t="shared" si="5"/>
        <v>26702.064532268374</v>
      </c>
    </row>
    <row r="22" spans="1:14" x14ac:dyDescent="0.2">
      <c r="D22">
        <v>19</v>
      </c>
      <c r="E22">
        <v>1947</v>
      </c>
      <c r="F22" s="1">
        <v>-0.04</v>
      </c>
      <c r="G22" s="1"/>
      <c r="H22" s="2">
        <f t="shared" si="6"/>
        <v>662079.83559902397</v>
      </c>
      <c r="I22" s="2">
        <f t="shared" si="1"/>
        <v>24000</v>
      </c>
      <c r="J22" s="2">
        <f t="shared" si="2"/>
        <v>23955.75</v>
      </c>
      <c r="K22" s="2">
        <f t="shared" si="7"/>
        <v>25798.5</v>
      </c>
      <c r="M22" s="2">
        <f t="shared" si="4"/>
        <v>775427.95401707361</v>
      </c>
      <c r="N22" s="2">
        <f t="shared" si="5"/>
        <v>24813.694528546355</v>
      </c>
    </row>
    <row r="23" spans="1:14" x14ac:dyDescent="0.2">
      <c r="D23">
        <v>20</v>
      </c>
      <c r="E23">
        <v>1948</v>
      </c>
      <c r="F23" s="1">
        <v>3.7699999999999997E-2</v>
      </c>
      <c r="G23" s="1"/>
      <c r="H23" s="2">
        <f t="shared" si="6"/>
        <v>662135.44540110719</v>
      </c>
      <c r="I23" s="2">
        <f t="shared" si="1"/>
        <v>24000</v>
      </c>
      <c r="J23" s="2">
        <f t="shared" si="2"/>
        <v>23400</v>
      </c>
      <c r="K23" s="2">
        <f t="shared" si="7"/>
        <v>25200</v>
      </c>
      <c r="M23" s="2">
        <f t="shared" si="4"/>
        <v>778912.4170712448</v>
      </c>
      <c r="N23" s="2">
        <f t="shared" si="5"/>
        <v>24925.197346279834</v>
      </c>
    </row>
    <row r="24" spans="1:14" x14ac:dyDescent="0.2">
      <c r="D24">
        <v>21</v>
      </c>
      <c r="E24">
        <v>1949</v>
      </c>
      <c r="F24" s="1">
        <v>0.18940000000000001</v>
      </c>
      <c r="G24" s="1"/>
      <c r="H24" s="2">
        <f t="shared" si="6"/>
        <v>758998.29876007687</v>
      </c>
      <c r="I24" s="2">
        <f t="shared" si="1"/>
        <v>24287.94556032246</v>
      </c>
      <c r="J24" s="2">
        <f t="shared" si="2"/>
        <v>23400</v>
      </c>
      <c r="K24" s="2">
        <f t="shared" si="7"/>
        <v>25200</v>
      </c>
      <c r="M24" s="2">
        <f t="shared" si="4"/>
        <v>896792.39914087334</v>
      </c>
      <c r="N24" s="2">
        <f t="shared" si="5"/>
        <v>28697.356772507948</v>
      </c>
    </row>
    <row r="25" spans="1:14" x14ac:dyDescent="0.2">
      <c r="D25">
        <v>22</v>
      </c>
      <c r="E25">
        <v>1950</v>
      </c>
      <c r="F25" s="1">
        <v>0.20710000000000001</v>
      </c>
      <c r="G25" s="1"/>
      <c r="H25" s="2">
        <f t="shared" si="6"/>
        <v>886868.86734742357</v>
      </c>
      <c r="I25" s="2">
        <f t="shared" si="1"/>
        <v>25502.342838338584</v>
      </c>
      <c r="J25" s="2">
        <f t="shared" si="2"/>
        <v>23680.746921314396</v>
      </c>
      <c r="K25" s="2">
        <f t="shared" si="7"/>
        <v>25502.342838338584</v>
      </c>
      <c r="M25" s="2">
        <f t="shared" si="4"/>
        <v>1047877.525642854</v>
      </c>
      <c r="N25" s="2">
        <f t="shared" si="5"/>
        <v>33532.080820571333</v>
      </c>
    </row>
    <row r="26" spans="1:14" x14ac:dyDescent="0.2">
      <c r="D26">
        <v>23</v>
      </c>
      <c r="E26">
        <v>1951</v>
      </c>
      <c r="F26" s="1">
        <v>0.19620000000000001</v>
      </c>
      <c r="G26" s="1"/>
      <c r="H26" s="2">
        <f t="shared" si="6"/>
        <v>1030366.6366177674</v>
      </c>
      <c r="I26" s="2">
        <f t="shared" si="1"/>
        <v>26777.459980255513</v>
      </c>
      <c r="J26" s="2">
        <f t="shared" si="2"/>
        <v>24864.784267380117</v>
      </c>
      <c r="K26" s="2">
        <f t="shared" si="7"/>
        <v>26777.459980255513</v>
      </c>
      <c r="M26" s="2">
        <f t="shared" si="4"/>
        <v>1213360.0210964147</v>
      </c>
      <c r="N26" s="2">
        <f t="shared" si="5"/>
        <v>38827.520675085267</v>
      </c>
    </row>
    <row r="27" spans="1:14" x14ac:dyDescent="0.2">
      <c r="D27">
        <v>24</v>
      </c>
      <c r="E27">
        <v>1952</v>
      </c>
      <c r="F27" s="1">
        <v>0.1704</v>
      </c>
      <c r="G27" s="1"/>
      <c r="H27" s="2">
        <f t="shared" si="6"/>
        <v>1174600.7723365438</v>
      </c>
      <c r="I27" s="2">
        <f t="shared" si="1"/>
        <v>28116.332979268289</v>
      </c>
      <c r="J27" s="2">
        <f t="shared" si="2"/>
        <v>26108.023480749125</v>
      </c>
      <c r="K27" s="2">
        <f t="shared" si="7"/>
        <v>28116.332979268289</v>
      </c>
      <c r="M27" s="2">
        <f t="shared" si="4"/>
        <v>1374672.8384931239</v>
      </c>
      <c r="N27" s="2">
        <f t="shared" si="5"/>
        <v>43989.530831779965</v>
      </c>
    </row>
    <row r="28" spans="1:14" x14ac:dyDescent="0.2">
      <c r="D28">
        <v>25</v>
      </c>
      <c r="E28">
        <v>1953</v>
      </c>
      <c r="F28" s="1">
        <v>2.3999999999999998E-3</v>
      </c>
      <c r="G28" s="1"/>
      <c r="H28" s="2">
        <f t="shared" si="6"/>
        <v>1149236.0020117329</v>
      </c>
      <c r="I28" s="2">
        <f t="shared" si="1"/>
        <v>29522.149628231706</v>
      </c>
      <c r="J28" s="2">
        <f t="shared" si="2"/>
        <v>27413.424654786581</v>
      </c>
      <c r="K28" s="2">
        <f t="shared" si="7"/>
        <v>29522.149628231706</v>
      </c>
      <c r="M28" s="2">
        <f t="shared" si="4"/>
        <v>1333876.9475997309</v>
      </c>
      <c r="N28" s="2">
        <f t="shared" si="5"/>
        <v>42684.062323191392</v>
      </c>
    </row>
    <row r="29" spans="1:14" x14ac:dyDescent="0.2">
      <c r="D29">
        <v>26</v>
      </c>
      <c r="E29">
        <v>1954</v>
      </c>
      <c r="F29" s="1">
        <v>0.49159999999999998</v>
      </c>
      <c r="G29" s="1"/>
      <c r="H29" s="2">
        <f t="shared" si="6"/>
        <v>1670165.1822152303</v>
      </c>
      <c r="I29" s="2">
        <f t="shared" si="1"/>
        <v>30998.257109643291</v>
      </c>
      <c r="J29" s="2">
        <f t="shared" si="2"/>
        <v>28784.095887525913</v>
      </c>
      <c r="K29" s="2">
        <f t="shared" si="7"/>
        <v>30998.257109643291</v>
      </c>
      <c r="M29" s="2">
        <f t="shared" si="4"/>
        <v>1925943.3076784865</v>
      </c>
      <c r="N29" s="2">
        <f t="shared" si="5"/>
        <v>61630.185845711567</v>
      </c>
    </row>
    <row r="30" spans="1:14" x14ac:dyDescent="0.2">
      <c r="D30">
        <v>27</v>
      </c>
      <c r="E30">
        <v>1955</v>
      </c>
      <c r="F30" s="1">
        <v>0.34450000000000003</v>
      </c>
      <c r="G30" s="1"/>
      <c r="H30" s="2">
        <f t="shared" si="6"/>
        <v>2203859.9308044617</v>
      </c>
      <c r="I30" s="2">
        <f t="shared" si="1"/>
        <v>32548.169965125457</v>
      </c>
      <c r="J30" s="2">
        <f t="shared" si="2"/>
        <v>30223.300681902208</v>
      </c>
      <c r="K30" s="2">
        <f t="shared" si="7"/>
        <v>32548.169965125457</v>
      </c>
      <c r="M30" s="2">
        <f t="shared" si="4"/>
        <v>2506568.9923041658</v>
      </c>
      <c r="N30" s="2">
        <f t="shared" si="5"/>
        <v>80210.20775373331</v>
      </c>
    </row>
    <row r="31" spans="1:14" x14ac:dyDescent="0.2">
      <c r="D31">
        <v>28</v>
      </c>
      <c r="E31">
        <v>1956</v>
      </c>
      <c r="F31" s="1">
        <v>3.2300000000000002E-2</v>
      </c>
      <c r="G31" s="1"/>
      <c r="H31" s="2">
        <f t="shared" si="6"/>
        <v>2241445.1307144468</v>
      </c>
      <c r="I31" s="2">
        <f t="shared" si="1"/>
        <v>34175.578463381731</v>
      </c>
      <c r="J31" s="2">
        <f t="shared" si="2"/>
        <v>31734.465715997321</v>
      </c>
      <c r="K31" s="2">
        <f t="shared" si="7"/>
        <v>34175.578463381731</v>
      </c>
      <c r="M31" s="2">
        <f t="shared" si="4"/>
        <v>2504730.1732914117</v>
      </c>
      <c r="N31" s="2">
        <f t="shared" si="5"/>
        <v>80151.36554532517</v>
      </c>
    </row>
    <row r="32" spans="1:14" x14ac:dyDescent="0.2">
      <c r="D32">
        <v>29</v>
      </c>
      <c r="E32">
        <v>1957</v>
      </c>
      <c r="F32" s="1">
        <v>-0.122</v>
      </c>
      <c r="G32" s="1"/>
      <c r="H32" s="2">
        <f t="shared" si="6"/>
        <v>1937982.6668764353</v>
      </c>
      <c r="I32" s="2">
        <f t="shared" si="1"/>
        <v>35884.357386550822</v>
      </c>
      <c r="J32" s="2">
        <f t="shared" si="2"/>
        <v>33321.189001797189</v>
      </c>
      <c r="K32" s="2">
        <f t="shared" si="7"/>
        <v>35884.357386550822</v>
      </c>
      <c r="M32" s="2">
        <f t="shared" si="4"/>
        <v>2128780.1932010641</v>
      </c>
      <c r="N32" s="2">
        <f t="shared" si="5"/>
        <v>68120.966182434058</v>
      </c>
    </row>
    <row r="33" spans="4:14" x14ac:dyDescent="0.2">
      <c r="D33">
        <v>30</v>
      </c>
      <c r="E33">
        <v>1958</v>
      </c>
      <c r="F33" s="1">
        <v>0.35399999999999998</v>
      </c>
      <c r="G33" s="1"/>
      <c r="H33" s="2">
        <f t="shared" si="6"/>
        <v>2575441.1110493038</v>
      </c>
      <c r="I33" s="2">
        <f t="shared" si="1"/>
        <v>37678.575255878364</v>
      </c>
      <c r="J33" s="2">
        <f t="shared" si="2"/>
        <v>34987.248451887048</v>
      </c>
      <c r="K33" s="2">
        <f t="shared" si="7"/>
        <v>37678.575255878364</v>
      </c>
      <c r="M33" s="2">
        <f t="shared" si="4"/>
        <v>2790132.5933832256</v>
      </c>
      <c r="N33" s="2">
        <f t="shared" si="5"/>
        <v>89284.242988263228</v>
      </c>
    </row>
    <row r="34" spans="4:14" x14ac:dyDescent="0.2">
      <c r="D34">
        <v>31</v>
      </c>
      <c r="E34">
        <v>1959</v>
      </c>
      <c r="F34" s="1">
        <v>0.1198</v>
      </c>
      <c r="G34" s="1"/>
      <c r="H34" s="2">
        <f t="shared" si="6"/>
        <v>2841786.4875814775</v>
      </c>
      <c r="I34" s="2">
        <f t="shared" si="1"/>
        <v>39562.504018672284</v>
      </c>
      <c r="J34" s="2">
        <f t="shared" si="2"/>
        <v>36736.610874481405</v>
      </c>
      <c r="K34" s="2">
        <f t="shared" si="7"/>
        <v>39562.504018672284</v>
      </c>
      <c r="M34" s="2">
        <f t="shared" si="4"/>
        <v>3024409.9827722786</v>
      </c>
      <c r="N34" s="2">
        <f t="shared" si="5"/>
        <v>96781.119448712911</v>
      </c>
    </row>
    <row r="35" spans="4:14" x14ac:dyDescent="0.2">
      <c r="D35">
        <v>32</v>
      </c>
      <c r="E35">
        <v>1960</v>
      </c>
      <c r="F35" s="1">
        <v>-1.77E-2</v>
      </c>
      <c r="G35" s="1"/>
      <c r="H35" s="2">
        <f t="shared" si="6"/>
        <v>2752624.6190537433</v>
      </c>
      <c r="I35" s="2">
        <f t="shared" si="1"/>
        <v>41540.6292196059</v>
      </c>
      <c r="J35" s="2">
        <f t="shared" si="2"/>
        <v>38573.441418205475</v>
      </c>
      <c r="K35" s="2">
        <f t="shared" si="7"/>
        <v>41540.6292196059</v>
      </c>
      <c r="M35" s="2">
        <f t="shared" si="4"/>
        <v>2875809.8324427381</v>
      </c>
      <c r="N35" s="2">
        <f t="shared" si="5"/>
        <v>92025.914638167626</v>
      </c>
    </row>
    <row r="36" spans="4:14" x14ac:dyDescent="0.2">
      <c r="D36">
        <v>33</v>
      </c>
      <c r="E36">
        <v>1961</v>
      </c>
      <c r="F36" s="1">
        <v>0.2923</v>
      </c>
      <c r="G36" s="1"/>
      <c r="H36" s="2">
        <f t="shared" si="6"/>
        <v>3503533.8400626555</v>
      </c>
      <c r="I36" s="2">
        <f t="shared" si="1"/>
        <v>43617.660680586196</v>
      </c>
      <c r="J36" s="2">
        <f t="shared" si="2"/>
        <v>40502.113489115749</v>
      </c>
      <c r="K36" s="2">
        <f t="shared" si="7"/>
        <v>43617.660680586196</v>
      </c>
      <c r="M36" s="2">
        <f t="shared" si="4"/>
        <v>3597483.9569788463</v>
      </c>
      <c r="N36" s="2">
        <f t="shared" si="5"/>
        <v>115119.48662332309</v>
      </c>
    </row>
    <row r="37" spans="4:14" x14ac:dyDescent="0.2">
      <c r="D37">
        <v>34</v>
      </c>
      <c r="E37">
        <v>1962</v>
      </c>
      <c r="F37" s="1">
        <v>-0.1091</v>
      </c>
      <c r="G37" s="1"/>
      <c r="H37" s="2">
        <f t="shared" si="6"/>
        <v>3082439.3242114857</v>
      </c>
      <c r="I37" s="2">
        <f t="shared" si="1"/>
        <v>45798.543714615509</v>
      </c>
      <c r="J37" s="2">
        <f t="shared" si="2"/>
        <v>42527.219163571543</v>
      </c>
      <c r="K37" s="2">
        <f t="shared" si="7"/>
        <v>45798.543714615509</v>
      </c>
      <c r="M37" s="2">
        <f t="shared" si="4"/>
        <v>3102438.5066397358</v>
      </c>
      <c r="N37" s="2">
        <f t="shared" si="5"/>
        <v>99278.032212471546</v>
      </c>
    </row>
    <row r="38" spans="4:14" x14ac:dyDescent="0.2">
      <c r="D38">
        <v>35</v>
      </c>
      <c r="E38">
        <v>1963</v>
      </c>
      <c r="F38" s="1">
        <v>0.2021</v>
      </c>
      <c r="G38" s="1"/>
      <c r="H38" s="2">
        <f t="shared" si="6"/>
        <v>3650345.8822352877</v>
      </c>
      <c r="I38" s="2">
        <f t="shared" si="1"/>
        <v>48088.470900346285</v>
      </c>
      <c r="J38" s="2">
        <f t="shared" si="2"/>
        <v>44653.580121750121</v>
      </c>
      <c r="K38" s="2">
        <f t="shared" si="7"/>
        <v>48088.470900346285</v>
      </c>
      <c r="M38" s="2">
        <f t="shared" si="4"/>
        <v>3610099.206309014</v>
      </c>
      <c r="N38" s="2">
        <f t="shared" si="5"/>
        <v>115523.17460188844</v>
      </c>
    </row>
    <row r="39" spans="4:14" x14ac:dyDescent="0.2">
      <c r="D39">
        <v>36</v>
      </c>
      <c r="E39">
        <v>1964</v>
      </c>
      <c r="F39" s="1">
        <v>0.15460000000000002</v>
      </c>
      <c r="G39" s="1"/>
      <c r="H39" s="2">
        <f t="shared" ref="H39:H53" si="8">(H38-I38)*(1+F39)</f>
        <v>4159166.407127324</v>
      </c>
      <c r="I39" s="2">
        <f t="shared" ref="I39:I53" si="9">IF(IF(H39*$B$9&lt;J39,J39,IF((H39*$B$9)&gt;K39,K39,H39*$B$9))&lt;$B$17,$B$17,IF(H39*$B$9&lt;J39,J39,IF((H39*$B$9)&gt;K39,K39,H39*$B$9)))</f>
        <v>50492.8944453636</v>
      </c>
      <c r="J39" s="2">
        <f t="shared" si="2"/>
        <v>46886.259127837628</v>
      </c>
      <c r="K39" s="2">
        <f t="shared" ref="K39:K53" si="10">+I38*(1+$K$3)</f>
        <v>50492.8944453636</v>
      </c>
      <c r="M39" s="2">
        <f t="shared" si="4"/>
        <v>4034837.4862090475</v>
      </c>
      <c r="N39" s="2">
        <f t="shared" si="5"/>
        <v>129114.79955868953</v>
      </c>
    </row>
    <row r="40" spans="4:14" x14ac:dyDescent="0.2">
      <c r="D40">
        <v>37</v>
      </c>
      <c r="E40">
        <v>1965</v>
      </c>
      <c r="F40" s="1">
        <v>0.1042</v>
      </c>
      <c r="G40" s="1"/>
      <c r="H40" s="2">
        <f t="shared" si="8"/>
        <v>4536797.2927034209</v>
      </c>
      <c r="I40" s="2">
        <f t="shared" si="9"/>
        <v>53017.539167631781</v>
      </c>
      <c r="J40" s="2">
        <f t="shared" si="2"/>
        <v>49230.572084229505</v>
      </c>
      <c r="K40" s="2">
        <f t="shared" si="10"/>
        <v>53017.539167631781</v>
      </c>
      <c r="M40" s="2">
        <f t="shared" si="4"/>
        <v>4312698.9905993259</v>
      </c>
      <c r="N40" s="2">
        <f t="shared" si="5"/>
        <v>138006.36769917843</v>
      </c>
    </row>
    <row r="41" spans="4:14" x14ac:dyDescent="0.2">
      <c r="D41">
        <v>38</v>
      </c>
      <c r="E41">
        <v>1966</v>
      </c>
      <c r="F41" s="1">
        <v>-0.114</v>
      </c>
      <c r="G41" s="1"/>
      <c r="H41" s="2">
        <f t="shared" si="8"/>
        <v>3972628.8616327094</v>
      </c>
      <c r="I41" s="2">
        <f t="shared" si="9"/>
        <v>55668.41612601337</v>
      </c>
      <c r="J41" s="2">
        <f t="shared" si="2"/>
        <v>51692.100688440987</v>
      </c>
      <c r="K41" s="2">
        <f t="shared" si="10"/>
        <v>55668.41612601337</v>
      </c>
      <c r="M41" s="2">
        <f t="shared" si="4"/>
        <v>3698777.6638895306</v>
      </c>
      <c r="N41" s="2">
        <f t="shared" si="5"/>
        <v>118360.88524446498</v>
      </c>
    </row>
    <row r="42" spans="4:14" x14ac:dyDescent="0.2">
      <c r="D42">
        <v>39</v>
      </c>
      <c r="E42">
        <v>1967</v>
      </c>
      <c r="F42" s="1">
        <v>0.17370000000000002</v>
      </c>
      <c r="G42" s="1"/>
      <c r="H42" s="2">
        <f t="shared" si="8"/>
        <v>4597336.474891209</v>
      </c>
      <c r="I42" s="2">
        <f t="shared" si="9"/>
        <v>58451.836932314043</v>
      </c>
      <c r="J42" s="2">
        <f t="shared" si="2"/>
        <v>54276.705722863036</v>
      </c>
      <c r="K42" s="2">
        <f t="shared" si="10"/>
        <v>58451.836932314043</v>
      </c>
      <c r="M42" s="2">
        <f t="shared" si="4"/>
        <v>4202335.1730957134</v>
      </c>
      <c r="N42" s="2">
        <f t="shared" si="5"/>
        <v>134474.72553906284</v>
      </c>
    </row>
    <row r="43" spans="4:14" x14ac:dyDescent="0.2">
      <c r="D43">
        <v>40</v>
      </c>
      <c r="E43">
        <v>1968</v>
      </c>
      <c r="F43" s="1">
        <v>0.10009999999999999</v>
      </c>
      <c r="G43" s="1"/>
      <c r="H43" s="2">
        <f t="shared" si="8"/>
        <v>4993226.9902185816</v>
      </c>
      <c r="I43" s="2">
        <f t="shared" si="9"/>
        <v>61374.428778929745</v>
      </c>
      <c r="J43" s="2">
        <f t="shared" si="2"/>
        <v>56990.541009006192</v>
      </c>
      <c r="K43" s="2">
        <f t="shared" si="10"/>
        <v>61374.428778929745</v>
      </c>
      <c r="M43" s="2">
        <f t="shared" si="4"/>
        <v>4475053.2783570718</v>
      </c>
      <c r="N43" s="2">
        <f t="shared" si="5"/>
        <v>143201.70490742629</v>
      </c>
    </row>
    <row r="44" spans="4:14" x14ac:dyDescent="0.2">
      <c r="D44">
        <v>41</v>
      </c>
      <c r="E44">
        <v>1969</v>
      </c>
      <c r="F44" s="1">
        <v>-0.16829999999999998</v>
      </c>
      <c r="G44" s="1"/>
      <c r="H44" s="2">
        <f t="shared" si="8"/>
        <v>4101821.7753493586</v>
      </c>
      <c r="I44" s="2">
        <f t="shared" si="9"/>
        <v>64443.150217876238</v>
      </c>
      <c r="J44" s="2">
        <f t="shared" si="2"/>
        <v>59840.068059456498</v>
      </c>
      <c r="K44" s="2">
        <f t="shared" si="10"/>
        <v>64443.150217876238</v>
      </c>
      <c r="M44" s="2">
        <f t="shared" si="4"/>
        <v>3602800.9536380698</v>
      </c>
      <c r="N44" s="2">
        <f t="shared" si="5"/>
        <v>115289.63051641824</v>
      </c>
    </row>
    <row r="45" spans="4:14" x14ac:dyDescent="0.2">
      <c r="D45">
        <v>42</v>
      </c>
      <c r="E45">
        <v>1970</v>
      </c>
      <c r="F45" s="1">
        <v>-2.7300000000000001E-2</v>
      </c>
      <c r="G45" s="1"/>
      <c r="H45" s="2">
        <f t="shared" si="8"/>
        <v>3927158.1886653928</v>
      </c>
      <c r="I45" s="2">
        <f t="shared" si="9"/>
        <v>67665.307728770058</v>
      </c>
      <c r="J45" s="2">
        <f t="shared" si="2"/>
        <v>62832.071462429332</v>
      </c>
      <c r="K45" s="2">
        <f t="shared" si="10"/>
        <v>67665.307728770058</v>
      </c>
      <c r="M45" s="2">
        <f t="shared" si="4"/>
        <v>3392302.2640004307</v>
      </c>
      <c r="N45" s="2">
        <f t="shared" si="5"/>
        <v>108553.67244801378</v>
      </c>
    </row>
    <row r="46" spans="4:14" x14ac:dyDescent="0.2">
      <c r="D46">
        <v>43</v>
      </c>
      <c r="E46">
        <v>1971</v>
      </c>
      <c r="F46" s="1">
        <v>0.10060000000000001</v>
      </c>
      <c r="G46" s="1"/>
      <c r="H46" s="2">
        <f t="shared" si="8"/>
        <v>4247757.8647588473</v>
      </c>
      <c r="I46" s="2">
        <f t="shared" si="9"/>
        <v>71048.573115208565</v>
      </c>
      <c r="J46" s="2">
        <f t="shared" si="2"/>
        <v>65973.675035550812</v>
      </c>
      <c r="K46" s="2">
        <f t="shared" si="10"/>
        <v>71048.573115208565</v>
      </c>
      <c r="M46" s="2">
        <f t="shared" si="4"/>
        <v>3614093.6998625901</v>
      </c>
      <c r="N46" s="2">
        <f t="shared" si="5"/>
        <v>115650.99839560289</v>
      </c>
    </row>
    <row r="47" spans="4:14" x14ac:dyDescent="0.2">
      <c r="D47">
        <v>44</v>
      </c>
      <c r="E47">
        <v>1972</v>
      </c>
      <c r="F47" s="1">
        <v>0.17859999999999998</v>
      </c>
      <c r="G47" s="1"/>
      <c r="H47" s="2">
        <f t="shared" si="8"/>
        <v>4922669.5711311921</v>
      </c>
      <c r="I47" s="2">
        <f t="shared" si="9"/>
        <v>74601.001770969</v>
      </c>
      <c r="J47" s="2">
        <f t="shared" si="2"/>
        <v>69272.358787328354</v>
      </c>
      <c r="K47" s="2">
        <f t="shared" si="10"/>
        <v>74601.001770969</v>
      </c>
      <c r="M47" s="2">
        <f t="shared" si="4"/>
        <v>4123264.567948991</v>
      </c>
      <c r="N47" s="2">
        <f t="shared" si="5"/>
        <v>131944.46617436773</v>
      </c>
    </row>
    <row r="48" spans="4:14" x14ac:dyDescent="0.2">
      <c r="D48">
        <v>45</v>
      </c>
      <c r="E48">
        <v>1973</v>
      </c>
      <c r="F48" s="1">
        <v>-0.23519999999999999</v>
      </c>
      <c r="G48" s="1"/>
      <c r="H48" s="2">
        <f t="shared" si="8"/>
        <v>3707802.8418466994</v>
      </c>
      <c r="I48" s="2">
        <f t="shared" si="9"/>
        <v>78331.051859517451</v>
      </c>
      <c r="J48" s="2">
        <f t="shared" si="2"/>
        <v>72735.976726694775</v>
      </c>
      <c r="K48" s="2">
        <f t="shared" si="10"/>
        <v>78331.051859517451</v>
      </c>
      <c r="M48" s="2">
        <f t="shared" si="4"/>
        <v>3052561.6138372319</v>
      </c>
      <c r="N48" s="2">
        <f t="shared" si="5"/>
        <v>97681.971642791425</v>
      </c>
    </row>
    <row r="49" spans="4:14" x14ac:dyDescent="0.2">
      <c r="D49">
        <v>46</v>
      </c>
      <c r="E49">
        <v>1974</v>
      </c>
      <c r="F49" s="1">
        <v>-0.34210000000000002</v>
      </c>
      <c r="G49" s="1"/>
      <c r="H49" s="2">
        <f t="shared" si="8"/>
        <v>2387829.4906325666</v>
      </c>
      <c r="I49" s="2">
        <f t="shared" si="9"/>
        <v>76410.543700242139</v>
      </c>
      <c r="J49" s="2">
        <f t="shared" si="2"/>
        <v>76372.775563029514</v>
      </c>
      <c r="K49" s="2">
        <f t="shared" si="10"/>
        <v>82247.604452493324</v>
      </c>
      <c r="M49" s="2">
        <f t="shared" si="4"/>
        <v>1944015.3165997223</v>
      </c>
      <c r="N49" s="2">
        <f t="shared" si="5"/>
        <v>62208.490131191116</v>
      </c>
    </row>
    <row r="50" spans="4:14" x14ac:dyDescent="0.2">
      <c r="D50">
        <v>47</v>
      </c>
      <c r="E50">
        <v>1975</v>
      </c>
      <c r="F50" s="1">
        <v>0.29089999999999999</v>
      </c>
      <c r="G50" s="1"/>
      <c r="H50" s="2">
        <f t="shared" si="8"/>
        <v>2983810.7185949376</v>
      </c>
      <c r="I50" s="2">
        <f t="shared" si="9"/>
        <v>80231.070885254245</v>
      </c>
      <c r="J50" s="2">
        <f t="shared" si="2"/>
        <v>74500.280107736078</v>
      </c>
      <c r="K50" s="2">
        <f t="shared" si="10"/>
        <v>80231.070885254245</v>
      </c>
      <c r="M50" s="2">
        <f t="shared" si="4"/>
        <v>2429224.4322882267</v>
      </c>
      <c r="N50" s="2">
        <f t="shared" si="5"/>
        <v>77735.181833223251</v>
      </c>
    </row>
    <row r="51" spans="4:14" x14ac:dyDescent="0.2">
      <c r="D51">
        <v>48</v>
      </c>
      <c r="E51">
        <v>1976</v>
      </c>
      <c r="F51" s="1">
        <v>0.16839999999999999</v>
      </c>
      <c r="G51" s="1"/>
      <c r="H51" s="2">
        <f t="shared" si="8"/>
        <v>3392542.4603839945</v>
      </c>
      <c r="I51" s="2">
        <f t="shared" si="9"/>
        <v>84242.62442951696</v>
      </c>
      <c r="J51" s="2">
        <f t="shared" si="2"/>
        <v>78225.294113122887</v>
      </c>
      <c r="K51" s="2">
        <f t="shared" si="10"/>
        <v>84242.62442951696</v>
      </c>
      <c r="M51" s="2">
        <f t="shared" si="4"/>
        <v>2747480.040231626</v>
      </c>
      <c r="N51" s="2">
        <f t="shared" si="5"/>
        <v>87919.36128741203</v>
      </c>
    </row>
    <row r="52" spans="4:14" x14ac:dyDescent="0.2">
      <c r="D52">
        <v>49</v>
      </c>
      <c r="E52">
        <v>1977</v>
      </c>
      <c r="F52" s="1">
        <v>-0.12189999999999999</v>
      </c>
      <c r="G52" s="1"/>
      <c r="H52" s="2">
        <f t="shared" si="8"/>
        <v>2905018.0859516268</v>
      </c>
      <c r="I52" s="2">
        <f t="shared" si="9"/>
        <v>88454.755650992811</v>
      </c>
      <c r="J52" s="2">
        <f t="shared" si="2"/>
        <v>82136.558818779027</v>
      </c>
      <c r="K52" s="2">
        <f t="shared" si="10"/>
        <v>88454.755650992811</v>
      </c>
      <c r="M52" s="2">
        <f t="shared" si="4"/>
        <v>2335360.2321809139</v>
      </c>
      <c r="N52" s="2">
        <f t="shared" si="5"/>
        <v>74731.527429789247</v>
      </c>
    </row>
    <row r="53" spans="4:14" x14ac:dyDescent="0.2">
      <c r="D53">
        <v>50</v>
      </c>
      <c r="E53">
        <v>1978</v>
      </c>
      <c r="F53" s="1">
        <v>-1.1000000000000001E-2</v>
      </c>
      <c r="G53" s="1"/>
      <c r="H53" s="2">
        <f t="shared" si="8"/>
        <v>2785581.133667327</v>
      </c>
      <c r="I53" s="2">
        <f t="shared" si="9"/>
        <v>89138.59627735446</v>
      </c>
      <c r="J53" s="2">
        <f t="shared" si="2"/>
        <v>86243.386759717992</v>
      </c>
      <c r="K53" s="2">
        <f t="shared" si="10"/>
        <v>92877.493433542462</v>
      </c>
      <c r="M53" s="2">
        <f t="shared" si="4"/>
        <v>2235761.7889988623</v>
      </c>
      <c r="N53" s="2">
        <f t="shared" si="5"/>
        <v>71544.377247963595</v>
      </c>
    </row>
  </sheetData>
  <mergeCells count="2">
    <mergeCell ref="H2:K2"/>
    <mergeCell ref="M2:N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Hartmann</dc:creator>
  <cp:lastModifiedBy>Christian Hartmann</cp:lastModifiedBy>
  <dcterms:created xsi:type="dcterms:W3CDTF">2026-08-11T16:59:18Z</dcterms:created>
  <dcterms:modified xsi:type="dcterms:W3CDTF">2026-08-11T18:59:30Z</dcterms:modified>
</cp:coreProperties>
</file>